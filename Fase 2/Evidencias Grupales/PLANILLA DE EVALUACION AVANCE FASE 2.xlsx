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2/"/>
    </mc:Choice>
  </mc:AlternateContent>
  <xr:revisionPtr revIDLastSave="644" documentId="8_{2EFDF332-31E9-4C74-A6B5-E695634C1C45}" xr6:coauthVersionLast="47" xr6:coauthVersionMax="47" xr10:uidLastSave="{747B8C00-9B85-48B7-978C-0E44504E89A8}"/>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E15" i="1"/>
  <c r="D16" i="1"/>
  <c r="E16" i="1" s="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F16" i="1"/>
  <c r="G16" i="1" s="1"/>
  <c r="J15" i="1"/>
  <c r="K15" i="1" s="1"/>
  <c r="H15" i="1"/>
  <c r="I15" i="1" s="1"/>
  <c r="G15" i="1"/>
  <c r="J14" i="1"/>
  <c r="H14" i="1"/>
  <c r="I14" i="1" s="1"/>
  <c r="G14" i="1"/>
  <c r="E21" i="1" l="1"/>
  <c r="G21" i="1"/>
  <c r="I21" i="1"/>
  <c r="K14" i="1"/>
  <c r="K21" i="1" l="1"/>
  <c r="C21" i="1" s="1"/>
  <c r="C22" i="1" s="1"/>
  <c r="C7" i="1" s="1"/>
  <c r="C6" i="1" l="1"/>
  <c r="C5" i="1"/>
  <c r="C4" i="1"/>
</calcChain>
</file>

<file path=xl/sharedStrings.xml><?xml version="1.0" encoding="utf-8"?>
<sst xmlns="http://schemas.openxmlformats.org/spreadsheetml/2006/main" count="89" uniqueCount="67">
  <si>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</si>
  <si>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</si>
  <si>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</si>
  <si>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</si>
  <si>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</si>
  <si>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</si>
  <si>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</si>
  <si>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</si>
  <si>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</si>
  <si>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</si>
  <si>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</si>
  <si>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</si>
  <si>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</si>
  <si>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</si>
  <si>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</si>
  <si>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</si>
  <si>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</si>
  <si>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</si>
  <si>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</si>
  <si>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</si>
  <si>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</si>
  <si>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</si>
  <si>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</si>
  <si>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</si>
  <si>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</si>
  <si>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</si>
  <si>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</si>
  <si>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</si>
  <si>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</si>
  <si>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</si>
  <si>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</si>
  <si>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</si>
  <si>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</si>
  <si>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</si>
  <si>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</si>
  <si>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</si>
  <si>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</si>
  <si>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</si>
  <si>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</si>
  <si>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</si>
  <si>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</si>
  <si>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</si>
  <si>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</si>
  <si>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</si>
  <si>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</si>
  <si>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</si>
  <si>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</si>
  <si>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</si>
  <si>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</si>
  <si>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</si>
  <si>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</si>
  <si>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</si>
  <si>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</si>
  <si>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</si>
  <si>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</si>
  <si>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</si>
  <si>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</si>
  <si>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</si>
  <si>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</si>
  <si>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</si>
  <si>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</si>
  <si>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</si>
  <si>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</si>
  <si>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Martin Quilodran</t>
  </si>
  <si>
    <t>Mauricio Carrillo</t>
  </si>
  <si>
    <t>Benjamin Olguin</t>
  </si>
  <si>
    <t>Alan Concha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</si>
</sst>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4" sqref="F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5.2</v>
      </c>
      <c r="G4" s="1"/>
    </row>
    <row r="5" spans="1:11" x14ac:dyDescent="0.25">
      <c r="A5" s="4">
        <v>2</v>
      </c>
      <c r="B5" s="25" t="s">
        <v>64</v>
      </c>
      <c r="C5" s="5">
        <f>EVALUACION2!$C$22</f>
        <v>5.2</v>
      </c>
      <c r="G5" s="1"/>
    </row>
    <row r="6" spans="1:11" x14ac:dyDescent="0.25">
      <c r="A6" s="4">
        <v>3</v>
      </c>
      <c r="B6" s="25" t="s">
        <v>65</v>
      </c>
      <c r="C6" s="5">
        <f>EVALUACION2!$C$22</f>
        <v>5.2</v>
      </c>
      <c r="G6" s="1"/>
    </row>
    <row r="7" spans="1:11" ht="15" customHeight="1" x14ac:dyDescent="0.25">
      <c r="A7" s="4">
        <v>4</v>
      </c>
      <c r="B7" s="25" t="s">
        <v>66</v>
      </c>
      <c r="C7" s="5">
        <f>EVALUACION2!$C$22</f>
        <v>5.2</v>
      </c>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
        <v>41</v>
      </c>
      <c r="E14" s="15">
        <f>IF(D14="X",100*0.1,"")</f>
        <v>10</v>
      </c>
      <c r="F14" s="15"/>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41</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76</v>
      </c>
      <c r="D21" s="16"/>
      <c r="E21" s="16">
        <f>SUM(E13:E20)</f>
        <v>40</v>
      </c>
      <c r="F21" s="16"/>
      <c r="G21" s="16">
        <f>SUM(G13:G20)</f>
        <v>36</v>
      </c>
      <c r="H21" s="16"/>
      <c r="I21" s="16">
        <f>SUM(I13:I20)</f>
        <v>0</v>
      </c>
      <c r="J21" s="16"/>
      <c r="K21" s="16">
        <f>SUM(K13:K20)</f>
        <v>0</v>
      </c>
    </row>
    <row r="22" spans="1:11" ht="15.75" customHeight="1" outlineLevel="1" x14ac:dyDescent="0.3">
      <c r="A22" s="43"/>
      <c r="B22" s="30" t="s">
        <v>13</v>
      </c>
      <c r="C22" s="17">
        <f>VLOOKUP(C21,ESCALA_IEP!A2:B202,2,FALSE)</f>
        <v>5.2</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2025-10-29T21:14:31Z</dcterms:modified>
</cp:coreProperties>
</file>